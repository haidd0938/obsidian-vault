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<sst xmlns="http://schemas.openxmlformats.org/spreadsheetml/2006/main" count="147" uniqueCount="100">
  <si>
    <t xml:space="preserve">       《古浪宁氏钙材料科技有限公司年产40万吨高端纳米钙材料加工项目》土门镇围墙及场地平整、大门形象施工项目清单</t>
  </si>
  <si>
    <t>序号</t>
  </si>
  <si>
    <t>项目</t>
  </si>
  <si>
    <t>数量</t>
  </si>
  <si>
    <t>单位</t>
  </si>
  <si>
    <t>材料单价</t>
  </si>
  <si>
    <t>材料总价</t>
  </si>
  <si>
    <t>劳务单价</t>
  </si>
  <si>
    <t>劳务总价</t>
  </si>
  <si>
    <t>备注</t>
  </si>
  <si>
    <t>一</t>
  </si>
  <si>
    <t>围墙工程</t>
  </si>
  <si>
    <t>（一）</t>
  </si>
  <si>
    <t>围墙已完成量</t>
  </si>
  <si>
    <t>米</t>
  </si>
  <si>
    <t>围墙小红砖</t>
  </si>
  <si>
    <t>块</t>
  </si>
  <si>
    <t>围墙水洗砂</t>
  </si>
  <si>
    <t>立方米</t>
  </si>
  <si>
    <t>围墙细砂</t>
  </si>
  <si>
    <t>围墙水泥</t>
  </si>
  <si>
    <t>吨</t>
  </si>
  <si>
    <t>围墙商混C20</t>
  </si>
  <si>
    <t>围墙商混C30</t>
  </si>
  <si>
    <t>围墙基础三七灰土</t>
  </si>
  <si>
    <t>围墙基础钢筋</t>
  </si>
  <si>
    <t>围墙基础开挖</t>
  </si>
  <si>
    <t>围墙基础回填夯实</t>
  </si>
  <si>
    <t>围墙铁艺栅栏</t>
  </si>
  <si>
    <t>围墙铁艺栅栏安装</t>
  </si>
  <si>
    <t>围墙真石漆</t>
  </si>
  <si>
    <t>平方米</t>
  </si>
  <si>
    <t>木模板</t>
  </si>
  <si>
    <t>张</t>
  </si>
  <si>
    <t>方木</t>
  </si>
  <si>
    <t>根</t>
  </si>
  <si>
    <t>对拉丝</t>
  </si>
  <si>
    <t>套</t>
  </si>
  <si>
    <t>步步紧</t>
  </si>
  <si>
    <t>个</t>
  </si>
  <si>
    <t>水泥支撑</t>
  </si>
  <si>
    <t>预埋件</t>
  </si>
  <si>
    <t>除碱剂</t>
  </si>
  <si>
    <t>桶</t>
  </si>
  <si>
    <t>PVC穿线管</t>
  </si>
  <si>
    <t>小计</t>
  </si>
  <si>
    <t>（二）</t>
  </si>
  <si>
    <t>新增项目</t>
  </si>
  <si>
    <t>小红砖砌筑</t>
  </si>
  <si>
    <t>含材料.人工，砌筑砂浆，转运</t>
  </si>
  <si>
    <t>基础放大脚钢筋</t>
  </si>
  <si>
    <t>新钢筋加工，筏板老旧钢筋切割1吨</t>
  </si>
  <si>
    <t>基础放大脚混凝土C20</t>
  </si>
  <si>
    <t>1300*1300*高100，总计10个</t>
  </si>
  <si>
    <t>基础放大脚混凝土C30</t>
  </si>
  <si>
    <t>1300*1300*高400，总计10个</t>
  </si>
  <si>
    <t>基础放大脚支模</t>
  </si>
  <si>
    <t>基础短柱钢筋</t>
  </si>
  <si>
    <t>500*500*高1800，总计10个</t>
  </si>
  <si>
    <t>基础短柱混凝土C30</t>
  </si>
  <si>
    <t>基础短柱混凝土支模</t>
  </si>
  <si>
    <t>基础梁放大增加钢筋</t>
  </si>
  <si>
    <t>500*250*长75米</t>
  </si>
  <si>
    <t>基础梁放大增加混凝土C30</t>
  </si>
  <si>
    <t>基础梁放大增加支模面积</t>
  </si>
  <si>
    <t>放大脚短柱基础土方回填</t>
  </si>
  <si>
    <t>机械5.00</t>
  </si>
  <si>
    <t>机械回填，人工整平，分层碾压夯实，5米*2.6米*75米</t>
  </si>
  <si>
    <t>西北角大门柱钢筋</t>
  </si>
  <si>
    <t>600*600*高4000</t>
  </si>
  <si>
    <t>西北角大门柱混凝土C30</t>
  </si>
  <si>
    <t>西北角大门柱支模面积</t>
  </si>
  <si>
    <t>增加抹灰面积</t>
  </si>
  <si>
    <t>西面围墙基础深度增加，往下抹灰500</t>
  </si>
  <si>
    <t>切筏板钢筋零工</t>
  </si>
  <si>
    <t>撤场零工</t>
  </si>
  <si>
    <t>中途检查调零工</t>
  </si>
  <si>
    <t>二</t>
  </si>
  <si>
    <t>场地平整工程</t>
  </si>
  <si>
    <t>包含地磅房外墙喷真石漆、前期修补围挡</t>
  </si>
  <si>
    <t>三</t>
  </si>
  <si>
    <t>临时设施及文明施工</t>
  </si>
  <si>
    <t>喷绘</t>
  </si>
  <si>
    <t>宣传标语</t>
  </si>
  <si>
    <t>宣传栏</t>
  </si>
  <si>
    <t>宣传横幅</t>
  </si>
  <si>
    <t>铁皮围挡</t>
  </si>
  <si>
    <t>宣传彩门</t>
  </si>
  <si>
    <t>座</t>
  </si>
  <si>
    <t>开业零星花费</t>
  </si>
  <si>
    <t>项</t>
  </si>
  <si>
    <t>开业机械租赁</t>
  </si>
  <si>
    <t>台</t>
  </si>
  <si>
    <t>项目场地安全保卫</t>
  </si>
  <si>
    <t>天</t>
  </si>
  <si>
    <t>临时电费</t>
  </si>
  <si>
    <t>移动厕所</t>
  </si>
  <si>
    <t>摄像头</t>
  </si>
  <si>
    <t>一、二、三总计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</si>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</sst>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\(0.00\)"/>
    <numFmt numFmtId="177" formatCode="0.00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  <xf numFmtId="0" fontId="7" fillId="2" borderId="0" xfId="0" applyFont="1" applyFill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3"/>
  <sheetViews>
    <sheetView tabSelected="1" topLeftCell="A49" workbookViewId="0">
      <selection activeCell="H53" sqref="H53"/>
    </sheetView>
  </sheetViews>
  <sheetFormatPr defaultColWidth="9" defaultRowHeight="13.5"/>
  <cols>
    <col min="1" max="1" width="9" style="7"/>
    <col min="2" max="2" width="22.875" style="7" customWidth="1"/>
    <col min="3" max="3" width="10.25" style="7" customWidth="1"/>
    <col min="4" max="4" width="9.375" style="7" customWidth="1"/>
    <col min="5" max="5" width="9.375" style="10" customWidth="1"/>
    <col min="6" max="6" width="13.125" style="10" customWidth="1"/>
    <col min="7" max="7" width="11.125" style="10" customWidth="1"/>
    <col min="8" max="8" width="14.625" style="11" customWidth="1"/>
    <col min="9" max="9" width="38.5" customWidth="1"/>
  </cols>
  <sheetData>
    <row r="1" ht="59" customHeight="1" spans="1:9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="1" customFormat="1" ht="35" customHeight="1" spans="1:9">
      <c r="A2" s="13" t="s">
        <v>1</v>
      </c>
      <c r="B2" s="13" t="s">
        <v>2</v>
      </c>
      <c r="C2" s="13" t="s">
        <v>3</v>
      </c>
      <c r="D2" s="13" t="s">
        <v>4</v>
      </c>
      <c r="E2" s="14" t="s">
        <v>5</v>
      </c>
      <c r="F2" s="14" t="s">
        <v>6</v>
      </c>
      <c r="G2" s="14" t="s">
        <v>7</v>
      </c>
      <c r="H2" s="15" t="s">
        <v>8</v>
      </c>
      <c r="I2" s="13" t="s">
        <v>9</v>
      </c>
    </row>
    <row r="3" s="2" customFormat="1" ht="35" customHeight="1" spans="1:9">
      <c r="A3" s="16" t="s">
        <v>10</v>
      </c>
      <c r="B3" s="16" t="s">
        <v>11</v>
      </c>
      <c r="C3" s="16"/>
      <c r="D3" s="16"/>
      <c r="E3" s="17"/>
      <c r="F3" s="17">
        <f>F26+F47</f>
        <v>222716.96</v>
      </c>
      <c r="G3" s="17"/>
      <c r="H3" s="18">
        <f>H47+H26</f>
        <v>152295.2</v>
      </c>
      <c r="I3" s="16"/>
    </row>
    <row r="4" s="3" customFormat="1" ht="35" customHeight="1" spans="1:9">
      <c r="A4" s="19" t="s">
        <v>12</v>
      </c>
      <c r="B4" s="19" t="s">
        <v>13</v>
      </c>
      <c r="C4" s="19">
        <v>388.43</v>
      </c>
      <c r="D4" s="19" t="s">
        <v>14</v>
      </c>
      <c r="E4" s="20"/>
      <c r="F4" s="20"/>
      <c r="G4" s="20">
        <v>290</v>
      </c>
      <c r="H4" s="21">
        <f>G4*C4</f>
        <v>112644.7</v>
      </c>
      <c r="I4" s="22"/>
    </row>
    <row r="5" s="4" customFormat="1" ht="35" customHeight="1" spans="1:9">
      <c r="A5" s="23">
        <v>1</v>
      </c>
      <c r="B5" s="23" t="s">
        <v>15</v>
      </c>
      <c r="C5" s="23">
        <v>49068</v>
      </c>
      <c r="D5" s="23" t="s">
        <v>16</v>
      </c>
      <c r="E5" s="24">
        <v>0.42</v>
      </c>
      <c r="F5" s="24">
        <f>E5*C5</f>
        <v>20608.56</v>
      </c>
      <c r="G5" s="24"/>
      <c r="H5" s="25"/>
      <c r="I5" s="26"/>
    </row>
    <row r="6" s="4" customFormat="1" ht="35" customHeight="1" spans="1:9">
      <c r="A6" s="23">
        <v>2</v>
      </c>
      <c r="B6" s="23" t="s">
        <v>17</v>
      </c>
      <c r="C6" s="23">
        <v>60</v>
      </c>
      <c r="D6" s="23" t="s">
        <v>18</v>
      </c>
      <c r="E6" s="24">
        <v>120</v>
      </c>
      <c r="F6" s="24">
        <f>E6*C6</f>
        <v>7200</v>
      </c>
      <c r="G6" s="24"/>
      <c r="H6" s="25"/>
      <c r="I6" s="26"/>
    </row>
    <row r="7" s="4" customFormat="1" ht="35" customHeight="1" spans="1:9">
      <c r="A7" s="23">
        <v>3</v>
      </c>
      <c r="B7" s="23" t="s">
        <v>19</v>
      </c>
      <c r="C7" s="23">
        <v>57</v>
      </c>
      <c r="D7" s="23" t="s">
        <v>18</v>
      </c>
      <c r="E7" s="24">
        <v>90</v>
      </c>
      <c r="F7" s="24">
        <f>E7*C7</f>
        <v>5130</v>
      </c>
      <c r="G7" s="24"/>
      <c r="H7" s="25"/>
      <c r="I7" s="26"/>
    </row>
    <row r="8" s="4" customFormat="1" ht="35" customHeight="1" spans="1:9">
      <c r="A8" s="23">
        <v>4</v>
      </c>
      <c r="B8" s="23" t="s">
        <v>20</v>
      </c>
      <c r="C8" s="23">
        <v>20</v>
      </c>
      <c r="D8" s="23" t="s">
        <v>21</v>
      </c>
      <c r="E8" s="24">
        <v>360</v>
      </c>
      <c r="F8" s="24">
        <f t="shared" ref="F8:F15" si="0">E8*C8</f>
        <v>7200</v>
      </c>
      <c r="G8" s="24"/>
      <c r="H8" s="25"/>
      <c r="I8" s="26"/>
    </row>
    <row r="9" s="4" customFormat="1" ht="35" customHeight="1" spans="1:9">
      <c r="A9" s="23">
        <v>5</v>
      </c>
      <c r="B9" s="23" t="s">
        <v>22</v>
      </c>
      <c r="C9" s="23">
        <v>28</v>
      </c>
      <c r="D9" s="23" t="s">
        <v>18</v>
      </c>
      <c r="E9" s="24">
        <v>305</v>
      </c>
      <c r="F9" s="24">
        <f t="shared" si="0"/>
        <v>8540</v>
      </c>
      <c r="G9" s="24"/>
      <c r="H9" s="25"/>
      <c r="I9" s="26"/>
    </row>
    <row r="10" s="4" customFormat="1" ht="35" customHeight="1" spans="1:9">
      <c r="A10" s="23">
        <v>6</v>
      </c>
      <c r="B10" s="23" t="s">
        <v>23</v>
      </c>
      <c r="C10" s="23">
        <v>45.8</v>
      </c>
      <c r="D10" s="23" t="s">
        <v>18</v>
      </c>
      <c r="E10" s="24">
        <v>330</v>
      </c>
      <c r="F10" s="24">
        <f t="shared" si="0"/>
        <v>15114</v>
      </c>
      <c r="G10" s="24"/>
      <c r="H10" s="25"/>
      <c r="I10" s="26"/>
    </row>
    <row r="11" s="4" customFormat="1" ht="35" customHeight="1" spans="1:9">
      <c r="A11" s="23">
        <v>7</v>
      </c>
      <c r="B11" s="23" t="s">
        <v>24</v>
      </c>
      <c r="C11" s="23">
        <v>93</v>
      </c>
      <c r="D11" s="23" t="s">
        <v>18</v>
      </c>
      <c r="E11" s="24">
        <v>90</v>
      </c>
      <c r="F11" s="24">
        <f t="shared" si="0"/>
        <v>8370</v>
      </c>
      <c r="G11" s="24"/>
      <c r="H11" s="25"/>
      <c r="I11" s="26"/>
    </row>
    <row r="12" s="4" customFormat="1" ht="35" customHeight="1" spans="1:9">
      <c r="A12" s="23">
        <v>8</v>
      </c>
      <c r="B12" s="23" t="s">
        <v>25</v>
      </c>
      <c r="C12" s="23">
        <v>6</v>
      </c>
      <c r="D12" s="23" t="s">
        <v>21</v>
      </c>
      <c r="E12" s="24">
        <f>F12/C12</f>
        <v>3345</v>
      </c>
      <c r="F12" s="24">
        <f>3*3290+3*3400</f>
        <v>20070</v>
      </c>
      <c r="G12" s="24"/>
      <c r="H12" s="25"/>
      <c r="I12" s="26"/>
    </row>
    <row r="13" ht="35" customHeight="1" spans="1:9">
      <c r="A13" s="27">
        <v>9</v>
      </c>
      <c r="B13" s="27" t="s">
        <v>26</v>
      </c>
      <c r="C13" s="27">
        <v>186</v>
      </c>
      <c r="D13" s="27" t="s">
        <v>18</v>
      </c>
      <c r="E13" s="28">
        <v>7.5</v>
      </c>
      <c r="F13" s="28">
        <f t="shared" si="0"/>
        <v>1395</v>
      </c>
      <c r="G13" s="28"/>
      <c r="H13" s="29"/>
      <c r="I13" s="30"/>
    </row>
    <row r="14" ht="35" customHeight="1" spans="1:9">
      <c r="A14" s="27">
        <v>10</v>
      </c>
      <c r="B14" s="27" t="s">
        <v>27</v>
      </c>
      <c r="C14" s="27">
        <v>112.2</v>
      </c>
      <c r="D14" s="27" t="s">
        <v>18</v>
      </c>
      <c r="E14" s="28">
        <v>12</v>
      </c>
      <c r="F14" s="28">
        <f t="shared" si="0"/>
        <v>1346.4</v>
      </c>
      <c r="G14" s="28"/>
      <c r="H14" s="29"/>
      <c r="I14" s="30"/>
    </row>
    <row r="15" ht="35" customHeight="1" spans="1:9">
      <c r="A15" s="27">
        <v>11</v>
      </c>
      <c r="B15" s="27" t="s">
        <v>28</v>
      </c>
      <c r="C15" s="27">
        <v>353</v>
      </c>
      <c r="D15" s="27" t="s">
        <v>14</v>
      </c>
      <c r="E15" s="28">
        <v>143</v>
      </c>
      <c r="F15" s="28">
        <f t="shared" si="0"/>
        <v>50479</v>
      </c>
      <c r="G15" s="28"/>
      <c r="H15" s="29"/>
      <c r="I15" s="30"/>
    </row>
    <row r="16" ht="35" customHeight="1" spans="1:9">
      <c r="A16" s="27">
        <v>12</v>
      </c>
      <c r="B16" s="27" t="s">
        <v>29</v>
      </c>
      <c r="C16" s="27">
        <v>353</v>
      </c>
      <c r="D16" s="27" t="s">
        <v>14</v>
      </c>
      <c r="E16" s="28"/>
      <c r="F16" s="28"/>
      <c r="G16" s="28">
        <v>40</v>
      </c>
      <c r="H16" s="29">
        <f>G16*C16</f>
        <v>14120</v>
      </c>
      <c r="I16" s="30"/>
    </row>
    <row r="17" ht="35" customHeight="1" spans="1:9">
      <c r="A17" s="27">
        <v>13</v>
      </c>
      <c r="B17" s="27" t="s">
        <v>30</v>
      </c>
      <c r="C17" s="27">
        <v>800.2</v>
      </c>
      <c r="D17" s="27" t="s">
        <v>31</v>
      </c>
      <c r="E17" s="28">
        <v>45</v>
      </c>
      <c r="F17" s="28">
        <f t="shared" ref="F17:F25" si="1">E17*C17</f>
        <v>36009</v>
      </c>
      <c r="G17" s="28"/>
      <c r="H17" s="29"/>
      <c r="I17" s="30"/>
    </row>
    <row r="18" ht="35" customHeight="1" spans="1:9">
      <c r="A18" s="27">
        <v>14</v>
      </c>
      <c r="B18" s="27" t="s">
        <v>32</v>
      </c>
      <c r="C18" s="27">
        <v>100</v>
      </c>
      <c r="D18" s="27" t="s">
        <v>33</v>
      </c>
      <c r="E18" s="28">
        <v>30</v>
      </c>
      <c r="F18" s="28">
        <f t="shared" si="1"/>
        <v>3000</v>
      </c>
      <c r="G18" s="28"/>
      <c r="H18" s="29"/>
      <c r="I18" s="30"/>
    </row>
    <row r="19" ht="35" customHeight="1" spans="1:9">
      <c r="A19" s="27">
        <v>15</v>
      </c>
      <c r="B19" s="27" t="s">
        <v>34</v>
      </c>
      <c r="C19" s="27">
        <v>470</v>
      </c>
      <c r="D19" s="27" t="s">
        <v>35</v>
      </c>
      <c r="E19" s="28">
        <v>11</v>
      </c>
      <c r="F19" s="28">
        <f t="shared" si="1"/>
        <v>5170</v>
      </c>
      <c r="G19" s="28"/>
      <c r="H19" s="29"/>
      <c r="I19" s="30"/>
    </row>
    <row r="20" ht="35" customHeight="1" spans="1:9">
      <c r="A20" s="27">
        <v>16</v>
      </c>
      <c r="B20" s="27" t="s">
        <v>36</v>
      </c>
      <c r="C20" s="27">
        <v>130</v>
      </c>
      <c r="D20" s="27" t="s">
        <v>37</v>
      </c>
      <c r="E20" s="28">
        <v>2.6</v>
      </c>
      <c r="F20" s="28">
        <f t="shared" si="1"/>
        <v>338</v>
      </c>
      <c r="G20" s="28"/>
      <c r="H20" s="29"/>
      <c r="I20" s="30"/>
    </row>
    <row r="21" ht="35" customHeight="1" spans="1:9">
      <c r="A21" s="27">
        <v>17</v>
      </c>
      <c r="B21" s="27" t="s">
        <v>38</v>
      </c>
      <c r="C21" s="27">
        <v>230</v>
      </c>
      <c r="D21" s="27" t="s">
        <v>39</v>
      </c>
      <c r="E21" s="28">
        <v>3</v>
      </c>
      <c r="F21" s="28">
        <f t="shared" si="1"/>
        <v>690</v>
      </c>
      <c r="G21" s="28"/>
      <c r="H21" s="29"/>
      <c r="I21" s="30"/>
    </row>
    <row r="22" ht="35" customHeight="1" spans="1:9">
      <c r="A22" s="27">
        <v>18</v>
      </c>
      <c r="B22" s="27" t="s">
        <v>40</v>
      </c>
      <c r="C22" s="27">
        <v>700</v>
      </c>
      <c r="D22" s="27" t="s">
        <v>35</v>
      </c>
      <c r="E22" s="28">
        <v>0.2</v>
      </c>
      <c r="F22" s="28">
        <f t="shared" si="1"/>
        <v>140</v>
      </c>
      <c r="G22" s="28"/>
      <c r="H22" s="29"/>
      <c r="I22" s="30"/>
    </row>
    <row r="23" ht="35" customHeight="1" spans="1:9">
      <c r="A23" s="27">
        <v>19</v>
      </c>
      <c r="B23" s="27" t="s">
        <v>41</v>
      </c>
      <c r="C23" s="27">
        <v>4</v>
      </c>
      <c r="D23" s="27" t="s">
        <v>37</v>
      </c>
      <c r="E23" s="28">
        <v>40</v>
      </c>
      <c r="F23" s="28">
        <f t="shared" si="1"/>
        <v>160</v>
      </c>
      <c r="G23" s="28"/>
      <c r="H23" s="29"/>
      <c r="I23" s="30"/>
    </row>
    <row r="24" ht="35" customHeight="1" spans="1:9">
      <c r="A24" s="27">
        <v>20</v>
      </c>
      <c r="B24" s="27" t="s">
        <v>42</v>
      </c>
      <c r="C24" s="27">
        <v>5</v>
      </c>
      <c r="D24" s="27" t="s">
        <v>43</v>
      </c>
      <c r="E24" s="28">
        <v>10</v>
      </c>
      <c r="F24" s="28">
        <f t="shared" si="1"/>
        <v>50</v>
      </c>
      <c r="G24" s="28"/>
      <c r="H24" s="29"/>
      <c r="I24" s="30"/>
    </row>
    <row r="25" ht="35" customHeight="1" spans="1:9">
      <c r="A25" s="27">
        <v>21</v>
      </c>
      <c r="B25" s="27" t="s">
        <v>44</v>
      </c>
      <c r="C25" s="27">
        <v>35</v>
      </c>
      <c r="D25" s="27" t="s">
        <v>35</v>
      </c>
      <c r="E25" s="28">
        <v>3.5</v>
      </c>
      <c r="F25" s="28">
        <f t="shared" si="1"/>
        <v>122.5</v>
      </c>
      <c r="G25" s="28"/>
      <c r="H25" s="29"/>
      <c r="I25" s="30"/>
    </row>
    <row r="26" ht="35" customHeight="1" spans="1:9">
      <c r="A26" s="27" t="s">
        <v>45</v>
      </c>
      <c r="B26" s="27"/>
      <c r="C26" s="27"/>
      <c r="D26" s="27"/>
      <c r="E26" s="28"/>
      <c r="F26" s="28">
        <f>SUM(F4:F25)</f>
        <v>191132.46</v>
      </c>
      <c r="G26" s="28"/>
      <c r="H26" s="28">
        <f>SUM(H4:H25)</f>
        <v>126764.7</v>
      </c>
      <c r="I26" s="30"/>
    </row>
    <row r="27" s="3" customFormat="1" ht="35" customHeight="1" spans="1:9">
      <c r="A27" s="19" t="s">
        <v>46</v>
      </c>
      <c r="B27" s="19" t="s">
        <v>47</v>
      </c>
      <c r="C27" s="19"/>
      <c r="D27" s="19"/>
      <c r="E27" s="20"/>
      <c r="F27" s="20"/>
      <c r="G27" s="20"/>
      <c r="H27" s="21"/>
      <c r="I27" s="19"/>
    </row>
    <row r="28" ht="35" customHeight="1" spans="1:9">
      <c r="A28" s="27">
        <v>1</v>
      </c>
      <c r="B28" s="27" t="s">
        <v>48</v>
      </c>
      <c r="C28" s="27">
        <v>5600</v>
      </c>
      <c r="D28" s="27" t="s">
        <v>16</v>
      </c>
      <c r="E28" s="28">
        <v>1.2</v>
      </c>
      <c r="F28" s="28">
        <f t="shared" ref="F28:F38" si="2">E28*C28</f>
        <v>6720</v>
      </c>
      <c r="G28" s="28">
        <v>1</v>
      </c>
      <c r="H28" s="29">
        <v>5600</v>
      </c>
      <c r="I28" s="30" t="s">
        <v>49</v>
      </c>
    </row>
    <row r="29" ht="35" customHeight="1" spans="1:9">
      <c r="A29" s="27">
        <v>2</v>
      </c>
      <c r="B29" s="27" t="s">
        <v>50</v>
      </c>
      <c r="C29" s="27">
        <v>0.235</v>
      </c>
      <c r="D29" s="27" t="s">
        <v>21</v>
      </c>
      <c r="E29" s="28">
        <v>3500</v>
      </c>
      <c r="F29" s="28">
        <f t="shared" si="2"/>
        <v>822.5</v>
      </c>
      <c r="G29" s="28">
        <v>1500</v>
      </c>
      <c r="H29" s="29">
        <f t="shared" ref="H29:H43" si="3">G29*C29</f>
        <v>352.5</v>
      </c>
      <c r="I29" s="30" t="s">
        <v>51</v>
      </c>
    </row>
    <row r="30" ht="35" customHeight="1" spans="1:9">
      <c r="A30" s="27">
        <v>3</v>
      </c>
      <c r="B30" s="27" t="s">
        <v>52</v>
      </c>
      <c r="C30" s="27">
        <v>3</v>
      </c>
      <c r="D30" s="27" t="s">
        <v>18</v>
      </c>
      <c r="E30" s="28">
        <v>305</v>
      </c>
      <c r="F30" s="28">
        <f t="shared" si="2"/>
        <v>915</v>
      </c>
      <c r="G30" s="28">
        <v>50</v>
      </c>
      <c r="H30" s="29">
        <f t="shared" si="3"/>
        <v>150</v>
      </c>
      <c r="I30" s="30" t="s">
        <v>53</v>
      </c>
    </row>
    <row r="31" ht="35" customHeight="1" spans="1:9">
      <c r="A31" s="27">
        <v>4</v>
      </c>
      <c r="B31" s="27" t="s">
        <v>54</v>
      </c>
      <c r="C31" s="27">
        <v>7</v>
      </c>
      <c r="D31" s="27" t="s">
        <v>18</v>
      </c>
      <c r="E31" s="28">
        <v>330</v>
      </c>
      <c r="F31" s="28">
        <f t="shared" si="2"/>
        <v>2310</v>
      </c>
      <c r="G31" s="28">
        <v>50</v>
      </c>
      <c r="H31" s="29">
        <f t="shared" si="3"/>
        <v>350</v>
      </c>
      <c r="I31" s="30" t="s">
        <v>55</v>
      </c>
    </row>
    <row r="32" ht="35" customHeight="1" spans="1:9">
      <c r="A32" s="27">
        <v>5</v>
      </c>
      <c r="B32" s="27" t="s">
        <v>56</v>
      </c>
      <c r="C32" s="27">
        <v>20.5</v>
      </c>
      <c r="D32" s="27" t="s">
        <v>31</v>
      </c>
      <c r="E32" s="28">
        <v>50</v>
      </c>
      <c r="F32" s="28">
        <f t="shared" si="2"/>
        <v>1025</v>
      </c>
      <c r="G32" s="28">
        <v>50</v>
      </c>
      <c r="H32" s="29">
        <f t="shared" si="3"/>
        <v>1025</v>
      </c>
      <c r="I32" s="30" t="s">
        <v>55</v>
      </c>
    </row>
    <row r="33" ht="35" customHeight="1" spans="1:9">
      <c r="A33" s="27">
        <v>6</v>
      </c>
      <c r="B33" s="27" t="s">
        <v>57</v>
      </c>
      <c r="C33" s="27">
        <v>0.52</v>
      </c>
      <c r="D33" s="27" t="s">
        <v>21</v>
      </c>
      <c r="E33" s="28">
        <v>3500</v>
      </c>
      <c r="F33" s="28">
        <f t="shared" si="2"/>
        <v>1820</v>
      </c>
      <c r="G33" s="28">
        <v>1500</v>
      </c>
      <c r="H33" s="29">
        <f t="shared" si="3"/>
        <v>780</v>
      </c>
      <c r="I33" s="30" t="s">
        <v>58</v>
      </c>
    </row>
    <row r="34" ht="35" customHeight="1" spans="1:9">
      <c r="A34" s="27">
        <v>7</v>
      </c>
      <c r="B34" s="27" t="s">
        <v>59</v>
      </c>
      <c r="C34" s="27">
        <v>4.6</v>
      </c>
      <c r="D34" s="27" t="s">
        <v>18</v>
      </c>
      <c r="E34" s="28">
        <v>330</v>
      </c>
      <c r="F34" s="28">
        <f t="shared" si="2"/>
        <v>1518</v>
      </c>
      <c r="G34" s="28">
        <v>50</v>
      </c>
      <c r="H34" s="29">
        <f t="shared" si="3"/>
        <v>230</v>
      </c>
      <c r="I34" s="30" t="s">
        <v>58</v>
      </c>
    </row>
    <row r="35" ht="35" customHeight="1" spans="1:9">
      <c r="A35" s="27">
        <v>8</v>
      </c>
      <c r="B35" s="27" t="s">
        <v>60</v>
      </c>
      <c r="C35" s="27">
        <v>36</v>
      </c>
      <c r="D35" s="27" t="s">
        <v>31</v>
      </c>
      <c r="E35" s="28">
        <v>50</v>
      </c>
      <c r="F35" s="28">
        <f t="shared" si="2"/>
        <v>1800</v>
      </c>
      <c r="G35" s="28">
        <v>50</v>
      </c>
      <c r="H35" s="29">
        <f t="shared" si="3"/>
        <v>1800</v>
      </c>
      <c r="I35" s="30" t="s">
        <v>58</v>
      </c>
    </row>
    <row r="36" ht="35" customHeight="1" spans="1:9">
      <c r="A36" s="27">
        <v>9</v>
      </c>
      <c r="B36" s="27" t="s">
        <v>61</v>
      </c>
      <c r="C36" s="27">
        <v>0.302</v>
      </c>
      <c r="D36" s="27" t="s">
        <v>21</v>
      </c>
      <c r="E36" s="28">
        <v>3500</v>
      </c>
      <c r="F36" s="28">
        <f t="shared" si="2"/>
        <v>1057</v>
      </c>
      <c r="G36" s="28">
        <v>1500</v>
      </c>
      <c r="H36" s="29">
        <f t="shared" si="3"/>
        <v>453</v>
      </c>
      <c r="I36" s="30" t="s">
        <v>62</v>
      </c>
    </row>
    <row r="37" ht="35" customHeight="1" spans="1:9">
      <c r="A37" s="27">
        <v>10</v>
      </c>
      <c r="B37" s="27" t="s">
        <v>63</v>
      </c>
      <c r="C37" s="27">
        <v>4</v>
      </c>
      <c r="D37" s="27" t="s">
        <v>18</v>
      </c>
      <c r="E37" s="28">
        <v>330</v>
      </c>
      <c r="F37" s="28">
        <f t="shared" si="2"/>
        <v>1320</v>
      </c>
      <c r="G37" s="28">
        <v>50</v>
      </c>
      <c r="H37" s="29">
        <f t="shared" si="3"/>
        <v>200</v>
      </c>
      <c r="I37" s="30" t="s">
        <v>62</v>
      </c>
    </row>
    <row r="38" ht="35" customHeight="1" spans="1:9">
      <c r="A38" s="27">
        <v>11</v>
      </c>
      <c r="B38" s="27" t="s">
        <v>64</v>
      </c>
      <c r="C38" s="27">
        <v>30</v>
      </c>
      <c r="D38" s="27" t="s">
        <v>31</v>
      </c>
      <c r="E38" s="28">
        <v>50</v>
      </c>
      <c r="F38" s="28">
        <f t="shared" si="2"/>
        <v>1500</v>
      </c>
      <c r="G38" s="28">
        <v>50</v>
      </c>
      <c r="H38" s="29">
        <f t="shared" si="3"/>
        <v>1500</v>
      </c>
      <c r="I38" s="30" t="s">
        <v>62</v>
      </c>
    </row>
    <row r="39" ht="55" customHeight="1" spans="1:9">
      <c r="A39" s="27">
        <v>12</v>
      </c>
      <c r="B39" s="27" t="s">
        <v>65</v>
      </c>
      <c r="C39" s="27">
        <v>975</v>
      </c>
      <c r="D39" s="27" t="s">
        <v>18</v>
      </c>
      <c r="E39" s="28" t="s">
        <v>66</v>
      </c>
      <c r="F39" s="28">
        <v>4875</v>
      </c>
      <c r="G39" s="28">
        <v>5</v>
      </c>
      <c r="H39" s="29">
        <f t="shared" si="3"/>
        <v>4875</v>
      </c>
      <c r="I39" s="31" t="s">
        <v>67</v>
      </c>
    </row>
    <row r="40" ht="35" customHeight="1" spans="1:9">
      <c r="A40" s="27">
        <v>13</v>
      </c>
      <c r="B40" s="27" t="s">
        <v>68</v>
      </c>
      <c r="C40" s="27">
        <v>0.22</v>
      </c>
      <c r="D40" s="27" t="s">
        <v>21</v>
      </c>
      <c r="E40" s="28">
        <v>3500</v>
      </c>
      <c r="F40" s="28">
        <f>E40*C40</f>
        <v>770</v>
      </c>
      <c r="G40" s="28">
        <v>1500</v>
      </c>
      <c r="H40" s="29">
        <f t="shared" si="3"/>
        <v>330</v>
      </c>
      <c r="I40" s="30" t="s">
        <v>69</v>
      </c>
    </row>
    <row r="41" ht="35" customHeight="1" spans="1:9">
      <c r="A41" s="27">
        <v>14</v>
      </c>
      <c r="B41" s="27" t="s">
        <v>70</v>
      </c>
      <c r="C41" s="27">
        <v>3.2</v>
      </c>
      <c r="D41" s="27" t="s">
        <v>18</v>
      </c>
      <c r="E41" s="28">
        <v>330</v>
      </c>
      <c r="F41" s="28">
        <f>E41*C41</f>
        <v>1056</v>
      </c>
      <c r="G41" s="28">
        <v>50</v>
      </c>
      <c r="H41" s="29">
        <f t="shared" si="3"/>
        <v>160</v>
      </c>
      <c r="I41" s="30" t="s">
        <v>69</v>
      </c>
    </row>
    <row r="42" ht="35" customHeight="1" spans="1:9">
      <c r="A42" s="27">
        <v>15</v>
      </c>
      <c r="B42" s="27" t="s">
        <v>71</v>
      </c>
      <c r="C42" s="27">
        <v>16</v>
      </c>
      <c r="D42" s="27" t="s">
        <v>31</v>
      </c>
      <c r="E42" s="28">
        <v>50</v>
      </c>
      <c r="F42" s="28">
        <f>E42*C42</f>
        <v>800</v>
      </c>
      <c r="G42" s="28">
        <v>50</v>
      </c>
      <c r="H42" s="29">
        <f t="shared" si="3"/>
        <v>800</v>
      </c>
      <c r="I42" s="30" t="s">
        <v>69</v>
      </c>
    </row>
    <row r="43" ht="35" customHeight="1" spans="1:9">
      <c r="A43" s="27">
        <v>16</v>
      </c>
      <c r="B43" s="27" t="s">
        <v>72</v>
      </c>
      <c r="C43" s="27">
        <v>117</v>
      </c>
      <c r="D43" s="27" t="s">
        <v>31</v>
      </c>
      <c r="E43" s="28">
        <v>28</v>
      </c>
      <c r="F43" s="28">
        <f>E43*C43</f>
        <v>3276</v>
      </c>
      <c r="G43" s="28">
        <v>25</v>
      </c>
      <c r="H43" s="29">
        <f t="shared" si="3"/>
        <v>2925</v>
      </c>
      <c r="I43" s="30" t="s">
        <v>73</v>
      </c>
    </row>
    <row r="44" ht="35" customHeight="1" spans="1:9">
      <c r="A44" s="27">
        <v>17</v>
      </c>
      <c r="B44" s="32" t="s">
        <v>74</v>
      </c>
      <c r="C44" s="32">
        <v>10</v>
      </c>
      <c r="D44" s="32" t="s">
        <v>39</v>
      </c>
      <c r="E44" s="33"/>
      <c r="F44" s="33"/>
      <c r="G44" s="33">
        <v>200</v>
      </c>
      <c r="H44" s="34">
        <v>2000</v>
      </c>
      <c r="I44" s="30"/>
    </row>
    <row r="45" ht="35" customHeight="1" spans="1:9">
      <c r="A45" s="27">
        <v>18</v>
      </c>
      <c r="B45" s="32" t="s">
        <v>75</v>
      </c>
      <c r="C45" s="32">
        <v>3</v>
      </c>
      <c r="D45" s="32" t="s">
        <v>39</v>
      </c>
      <c r="E45" s="33"/>
      <c r="F45" s="33"/>
      <c r="G45" s="33">
        <v>200</v>
      </c>
      <c r="H45" s="34">
        <v>600</v>
      </c>
      <c r="I45" s="30"/>
    </row>
    <row r="46" ht="35" customHeight="1" spans="1:9">
      <c r="A46" s="27">
        <v>19</v>
      </c>
      <c r="B46" s="32" t="s">
        <v>76</v>
      </c>
      <c r="C46" s="32">
        <v>7</v>
      </c>
      <c r="D46" s="32" t="s">
        <v>39</v>
      </c>
      <c r="E46" s="33"/>
      <c r="F46" s="35"/>
      <c r="G46" s="33">
        <v>200</v>
      </c>
      <c r="H46" s="34">
        <v>1400</v>
      </c>
      <c r="I46" s="30"/>
    </row>
    <row r="47" ht="35" customHeight="1" spans="1:9">
      <c r="A47" s="27" t="s">
        <v>45</v>
      </c>
      <c r="C47" s="27"/>
      <c r="D47" s="27"/>
      <c r="E47" s="28"/>
      <c r="F47" s="28">
        <f>SUM(F28:F46)</f>
        <v>31584.5</v>
      </c>
      <c r="G47" s="28"/>
      <c r="H47" s="29">
        <f>SUM(H28:H46)</f>
        <v>25530.5</v>
      </c>
      <c r="I47" s="30"/>
    </row>
    <row r="48" s="5" customFormat="1" ht="35" customHeight="1" spans="1:9">
      <c r="A48" s="36" t="s">
        <v>77</v>
      </c>
      <c r="B48" s="36" t="s">
        <v>78</v>
      </c>
      <c r="C48" s="36"/>
      <c r="D48" s="36"/>
      <c r="E48" s="37"/>
      <c r="F48" s="37"/>
      <c r="G48" s="37"/>
      <c r="H48" s="38">
        <v>29156</v>
      </c>
      <c r="I48" s="26" t="s">
        <v>79</v>
      </c>
    </row>
    <row r="49" s="6" customFormat="1" ht="35" customHeight="1" spans="1:9">
      <c r="A49" s="39" t="s">
        <v>80</v>
      </c>
      <c r="B49" s="39" t="s">
        <v>81</v>
      </c>
      <c r="C49" s="39"/>
      <c r="D49" s="39"/>
      <c r="E49" s="40"/>
      <c r="F49" s="40"/>
      <c r="G49" s="40"/>
      <c r="H49" s="41">
        <f>SUM(H50:H61)</f>
        <v>56519.3</v>
      </c>
      <c r="I49" s="42"/>
    </row>
    <row r="50" ht="35" customHeight="1" spans="1:9">
      <c r="A50" s="27">
        <v>1</v>
      </c>
      <c r="B50" s="27" t="s">
        <v>82</v>
      </c>
      <c r="C50" s="27">
        <v>21.6</v>
      </c>
      <c r="D50" s="27" t="s">
        <v>31</v>
      </c>
      <c r="E50" s="28">
        <v>25</v>
      </c>
      <c r="F50" s="28"/>
      <c r="G50" s="28"/>
      <c r="H50" s="29">
        <f>C50*E50</f>
        <v>540</v>
      </c>
      <c r="I50" s="30"/>
    </row>
    <row r="51" ht="35" customHeight="1" spans="1:9">
      <c r="A51" s="27">
        <v>2</v>
      </c>
      <c r="B51" s="27" t="s">
        <v>83</v>
      </c>
      <c r="C51" s="27">
        <v>14.44</v>
      </c>
      <c r="D51" s="27" t="s">
        <v>31</v>
      </c>
      <c r="E51" s="28">
        <v>45</v>
      </c>
      <c r="F51" s="28"/>
      <c r="G51" s="28"/>
      <c r="H51" s="29">
        <f>C51*E51</f>
        <v>649.8</v>
      </c>
      <c r="I51" s="30"/>
    </row>
    <row r="52" ht="35" customHeight="1" spans="1:9">
      <c r="A52" s="27">
        <v>3</v>
      </c>
      <c r="B52" s="27" t="s">
        <v>84</v>
      </c>
      <c r="C52" s="27">
        <v>2</v>
      </c>
      <c r="D52" s="27" t="s">
        <v>39</v>
      </c>
      <c r="E52" s="28">
        <v>1200</v>
      </c>
      <c r="F52" s="28"/>
      <c r="G52" s="28"/>
      <c r="H52" s="29">
        <f>C52*E52</f>
        <v>2400</v>
      </c>
      <c r="I52" s="30"/>
    </row>
    <row r="53" ht="35" customHeight="1" spans="1:9">
      <c r="A53" s="27">
        <v>4</v>
      </c>
      <c r="B53" s="27" t="s">
        <v>85</v>
      </c>
      <c r="C53" s="27">
        <v>12</v>
      </c>
      <c r="D53" s="27" t="s">
        <v>14</v>
      </c>
      <c r="E53" s="28">
        <v>8</v>
      </c>
      <c r="F53" s="28"/>
      <c r="G53" s="28"/>
      <c r="H53" s="29">
        <f>C53*E53</f>
        <v>96</v>
      </c>
      <c r="I53" s="30"/>
    </row>
    <row r="54" ht="35" customHeight="1" spans="1:9">
      <c r="A54" s="27">
        <v>5</v>
      </c>
      <c r="B54" s="27" t="s">
        <v>86</v>
      </c>
      <c r="C54" s="27">
        <v>130.3</v>
      </c>
      <c r="D54" s="27" t="s">
        <v>14</v>
      </c>
      <c r="E54" s="28">
        <v>175</v>
      </c>
      <c r="F54" s="28"/>
      <c r="G54" s="28"/>
      <c r="H54" s="29">
        <f>C54*E54</f>
        <v>22802.5</v>
      </c>
      <c r="I54" s="30"/>
    </row>
    <row r="55" ht="35" customHeight="1" spans="1:9">
      <c r="A55" s="27">
        <v>6</v>
      </c>
      <c r="B55" s="27" t="s">
        <v>87</v>
      </c>
      <c r="C55" s="27">
        <v>1</v>
      </c>
      <c r="D55" s="27" t="s">
        <v>88</v>
      </c>
      <c r="E55" s="28">
        <v>5000</v>
      </c>
      <c r="F55" s="28"/>
      <c r="G55" s="28"/>
      <c r="H55" s="29">
        <v>5000</v>
      </c>
      <c r="I55" s="30"/>
    </row>
    <row r="56" ht="35" customHeight="1" spans="1:9">
      <c r="A56" s="27">
        <v>7</v>
      </c>
      <c r="B56" s="27" t="s">
        <v>89</v>
      </c>
      <c r="C56" s="27">
        <v>1</v>
      </c>
      <c r="D56" s="27" t="s">
        <v>90</v>
      </c>
      <c r="E56" s="28">
        <v>6615</v>
      </c>
      <c r="F56" s="28"/>
      <c r="G56" s="28"/>
      <c r="H56" s="29">
        <f>C56*E56</f>
        <v>6615</v>
      </c>
      <c r="I56" s="30"/>
    </row>
    <row r="57" ht="35" customHeight="1" spans="1:9">
      <c r="A57" s="27">
        <v>8</v>
      </c>
      <c r="B57" s="27" t="s">
        <v>91</v>
      </c>
      <c r="C57" s="27">
        <v>12</v>
      </c>
      <c r="D57" s="27" t="s">
        <v>92</v>
      </c>
      <c r="E57" s="28">
        <v>400</v>
      </c>
      <c r="F57" s="28"/>
      <c r="G57" s="28"/>
      <c r="H57" s="29">
        <f>C57*E57</f>
        <v>4800</v>
      </c>
      <c r="I57" s="30"/>
    </row>
    <row r="58" s="7" customFormat="1" ht="35" customHeight="1" spans="1:9">
      <c r="A58" s="27">
        <v>9</v>
      </c>
      <c r="B58" s="27" t="s">
        <v>93</v>
      </c>
      <c r="C58" s="27">
        <v>64</v>
      </c>
      <c r="D58" s="27" t="s">
        <v>94</v>
      </c>
      <c r="E58" s="28">
        <v>84</v>
      </c>
      <c r="F58" s="28"/>
      <c r="G58" s="28"/>
      <c r="H58" s="29">
        <f>C58*E58</f>
        <v>5376</v>
      </c>
      <c r="I58" s="27"/>
    </row>
    <row r="59" s="7" customFormat="1" ht="35" customHeight="1" spans="1:9">
      <c r="A59" s="27">
        <v>10</v>
      </c>
      <c r="B59" s="27" t="s">
        <v>95</v>
      </c>
      <c r="C59" s="27">
        <v>1</v>
      </c>
      <c r="D59" s="27" t="s">
        <v>90</v>
      </c>
      <c r="E59" s="28">
        <f>890+1450</f>
        <v>2340</v>
      </c>
      <c r="F59" s="28"/>
      <c r="G59" s="28"/>
      <c r="H59" s="29">
        <f>C59*E59</f>
        <v>2340</v>
      </c>
      <c r="I59" s="27"/>
    </row>
    <row r="60" s="7" customFormat="1" ht="35" customHeight="1" spans="1:9">
      <c r="A60" s="27">
        <v>11</v>
      </c>
      <c r="B60" s="27" t="s">
        <v>96</v>
      </c>
      <c r="C60" s="27">
        <v>1</v>
      </c>
      <c r="D60" s="27" t="s">
        <v>88</v>
      </c>
      <c r="E60" s="28">
        <v>3800</v>
      </c>
      <c r="F60" s="28"/>
      <c r="G60" s="28"/>
      <c r="H60" s="29">
        <f>C60*E60</f>
        <v>3800</v>
      </c>
      <c r="I60" s="27"/>
    </row>
    <row r="61" s="7" customFormat="1" ht="35" customHeight="1" spans="1:9">
      <c r="A61" s="27">
        <v>12</v>
      </c>
      <c r="B61" s="27" t="s">
        <v>97</v>
      </c>
      <c r="C61" s="27">
        <v>3</v>
      </c>
      <c r="D61" s="27" t="s">
        <v>39</v>
      </c>
      <c r="E61" s="28">
        <v>700</v>
      </c>
      <c r="F61" s="28"/>
      <c r="G61" s="28"/>
      <c r="H61" s="29">
        <f>C61*E61</f>
        <v>2100</v>
      </c>
      <c r="I61" s="27"/>
    </row>
    <row r="62" s="8" customFormat="1" ht="35" customHeight="1" spans="1:9">
      <c r="A62" s="43" t="s">
        <v>98</v>
      </c>
      <c r="B62" s="44"/>
      <c r="C62" s="45"/>
      <c r="D62" s="45"/>
      <c r="E62" s="45"/>
      <c r="F62" s="45">
        <f>F3+F48+F49</f>
        <v>222716.96</v>
      </c>
      <c r="G62" s="45"/>
      <c r="H62" s="45">
        <f>H3+H48+H49</f>
        <v>237970.5</v>
      </c>
      <c r="I62" s="46"/>
    </row>
    <row r="63" s="9" customFormat="1" ht="35" customHeight="1" spans="1:9">
      <c r="A63" s="47" t="s">
        <v>99</v>
      </c>
      <c r="B63" s="48"/>
      <c r="C63" s="49"/>
      <c r="D63" s="49"/>
      <c r="E63" s="49"/>
      <c r="F63" s="47">
        <f>F62+H62</f>
        <v>460687.46</v>
      </c>
      <c r="G63" s="50"/>
      <c r="H63" s="48"/>
      <c r="I63" s="51"/>
    </row>
  </sheetData>
  <mergeCells count="4">
    <mergeCell ref="A1:I1"/>
    <mergeCell ref="A62:B62"/>
    <mergeCell ref="A63:B63"/>
    <mergeCell ref="F63:H6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苗子</cp:lastModifiedBy>
  <dcterms:created xsi:type="dcterms:W3CDTF">2026-04-06T01:43:00Z</dcterms:created>
  <dcterms:modified xsi:type="dcterms:W3CDTF">2026-05-14T08:40:52Z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E7E2DE2768854E26831993934D1F6C80_13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